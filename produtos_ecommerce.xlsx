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1A2E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9" customWidth="1" min="8" max="8"/>
    <col width="14" customWidth="1" min="9" max="9"/>
    <col width="40" customWidth="1" min="10" max="10"/>
    <col width="14" customWidth="1" min="11" max="11"/>
    <col width="14" customWidth="1" min="12" max="12"/>
    <col width="12" customWidth="1" min="13" max="13"/>
    <col width="10" customWidth="1" min="14" max="14"/>
    <col width="12" customWidth="1" min="15" max="15"/>
    <col width="22" customWidth="1" min="16" max="16"/>
    <col width="10" customWidth="1" min="17" max="17"/>
    <col width="12" customWidth="1" min="18" max="18"/>
  </cols>
  <sheetData>
    <row r="1" ht="35" customHeight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Marca</t>
        </is>
      </c>
      <c r="F1" s="1" t="inlineStr">
        <is>
          <t>Preço (R$)</t>
        </is>
      </c>
      <c r="G1" s="1" t="inlineStr">
        <is>
          <t>Preço Promocional (R$)</t>
        </is>
      </c>
      <c r="H1" s="1" t="inlineStr">
        <is>
          <t>Estoque</t>
        </is>
      </c>
      <c r="I1" s="1" t="inlineStr">
        <is>
          <t>SKU</t>
        </is>
      </c>
      <c r="J1" s="1" t="inlineStr">
        <is>
          <t>Descrição</t>
        </is>
      </c>
      <c r="K1" s="1" t="inlineStr">
        <is>
          <t>Avaliação (1-5)</t>
        </is>
      </c>
      <c r="L1" s="1" t="inlineStr">
        <is>
          <t>Nº Avaliações</t>
        </is>
      </c>
      <c r="M1" s="1" t="inlineStr">
        <is>
          <t>Peso (kg)</t>
        </is>
      </c>
      <c r="N1" s="1" t="inlineStr">
        <is>
          <t>Cor</t>
        </is>
      </c>
      <c r="O1" s="1" t="inlineStr">
        <is>
          <t>Tamanho</t>
        </is>
      </c>
      <c r="P1" s="1" t="inlineStr">
        <is>
          <t>Imagem URL (simulado)</t>
        </is>
      </c>
      <c r="Q1" s="1" t="inlineStr">
        <is>
          <t>Destaque</t>
        </is>
      </c>
      <c r="R1" s="1" t="inlineStr">
        <is>
          <t>Frete Grátis</t>
        </is>
      </c>
    </row>
    <row r="2" ht="20" customHeight="1">
      <c r="A2" s="2" t="n">
        <v>1</v>
      </c>
      <c r="B2" s="2" t="inlineStr">
        <is>
          <t>Notebook Gamer X500</t>
        </is>
      </c>
      <c r="C2" s="2" t="inlineStr">
        <is>
          <t>Eletrônicos</t>
        </is>
      </c>
      <c r="D2" s="2" t="inlineStr">
        <is>
          <t>Computadores</t>
        </is>
      </c>
      <c r="E2" s="2" t="inlineStr">
        <is>
          <t>TechBrand</t>
        </is>
      </c>
      <c r="F2" s="2" t="n">
        <v>4599.9</v>
      </c>
      <c r="G2" s="2" t="n">
        <v>3999.9</v>
      </c>
      <c r="H2" s="2" t="n">
        <v>15</v>
      </c>
      <c r="I2" s="2" t="inlineStr">
        <is>
          <t>NB-X500-BLK</t>
        </is>
      </c>
      <c r="J2" s="2" t="inlineStr">
        <is>
          <t>Notebook gamer com RTX 3060, 16GB RAM, SSD 512GB</t>
        </is>
      </c>
      <c r="K2" s="2" t="n">
        <v>4.7</v>
      </c>
      <c r="L2" s="2" t="n">
        <v>234</v>
      </c>
      <c r="M2" s="2" t="n">
        <v>2.1</v>
      </c>
      <c r="N2" s="2" t="inlineStr">
        <is>
          <t>Preto</t>
        </is>
      </c>
      <c r="O2" s="2" t="inlineStr">
        <is>
          <t>15.6"</t>
        </is>
      </c>
      <c r="P2" s="2" t="inlineStr">
        <is>
          <t>img/notebook1.jpg</t>
        </is>
      </c>
      <c r="Q2" s="2" t="inlineStr">
        <is>
          <t>Sim</t>
        </is>
      </c>
      <c r="R2" s="2" t="inlineStr">
        <is>
          <t>Sim</t>
        </is>
      </c>
    </row>
    <row r="3" ht="20" customHeight="1">
      <c r="A3" s="3" t="n">
        <v>2</v>
      </c>
      <c r="B3" s="3" t="inlineStr">
        <is>
          <t>Smartphone Ultra Pro</t>
        </is>
      </c>
      <c r="C3" s="3" t="inlineStr">
        <is>
          <t>Eletrônicos</t>
        </is>
      </c>
      <c r="D3" s="3" t="inlineStr">
        <is>
          <t>Celulares</t>
        </is>
      </c>
      <c r="E3" s="3" t="inlineStr">
        <is>
          <t>PhoneMaster</t>
        </is>
      </c>
      <c r="F3" s="3" t="n">
        <v>3299</v>
      </c>
      <c r="G3" s="3" t="n">
        <v>2899</v>
      </c>
      <c r="H3" s="3" t="n">
        <v>42</v>
      </c>
      <c r="I3" s="3" t="inlineStr">
        <is>
          <t>SP-UP-128</t>
        </is>
      </c>
      <c r="J3" s="3" t="inlineStr">
        <is>
          <t>Tela AMOLED 6.7", câmera 108MP, bateria 5000mAh</t>
        </is>
      </c>
      <c r="K3" s="3" t="n">
        <v>4.5</v>
      </c>
      <c r="L3" s="3" t="n">
        <v>512</v>
      </c>
      <c r="M3" s="3" t="n">
        <v>0.21</v>
      </c>
      <c r="N3" s="3" t="inlineStr">
        <is>
          <t>Azul</t>
        </is>
      </c>
      <c r="O3" s="3" t="inlineStr">
        <is>
          <t>6.7"</t>
        </is>
      </c>
      <c r="P3" s="3" t="inlineStr">
        <is>
          <t>img/phone1.jpg</t>
        </is>
      </c>
      <c r="Q3" s="3" t="inlineStr">
        <is>
          <t>Sim</t>
        </is>
      </c>
      <c r="R3" s="3" t="inlineStr">
        <is>
          <t>Sim</t>
        </is>
      </c>
    </row>
    <row r="4" ht="20" customHeight="1">
      <c r="A4" s="2" t="n">
        <v>3</v>
      </c>
      <c r="B4" s="2" t="inlineStr">
        <is>
          <t>Fone Bluetooth NC700</t>
        </is>
      </c>
      <c r="C4" s="2" t="inlineStr">
        <is>
          <t>Eletrônicos</t>
        </is>
      </c>
      <c r="D4" s="2" t="inlineStr">
        <is>
          <t>Áudio</t>
        </is>
      </c>
      <c r="E4" s="2" t="inlineStr">
        <is>
          <t>SoundWave</t>
        </is>
      </c>
      <c r="F4" s="2" t="n">
        <v>799</v>
      </c>
      <c r="G4" s="2" t="n">
        <v>649</v>
      </c>
      <c r="H4" s="2" t="n">
        <v>88</v>
      </c>
      <c r="I4" s="2" t="inlineStr">
        <is>
          <t>FN-NC700-W</t>
        </is>
      </c>
      <c r="J4" s="2" t="inlineStr">
        <is>
          <t>Cancelamento ativo de ruído, 30h de bateria</t>
        </is>
      </c>
      <c r="K4" s="2" t="n">
        <v>4.8</v>
      </c>
      <c r="L4" s="2" t="n">
        <v>189</v>
      </c>
      <c r="M4" s="2" t="n">
        <v>0.25</v>
      </c>
      <c r="N4" s="2" t="inlineStr">
        <is>
          <t>Branco</t>
        </is>
      </c>
      <c r="O4" s="2" t="inlineStr">
        <is>
          <t>Over-ear</t>
        </is>
      </c>
      <c r="P4" s="2" t="inlineStr">
        <is>
          <t>img/fone1.jpg</t>
        </is>
      </c>
      <c r="Q4" s="2" t="inlineStr">
        <is>
          <t>Sim</t>
        </is>
      </c>
      <c r="R4" s="2" t="inlineStr">
        <is>
          <t>Não</t>
        </is>
      </c>
    </row>
    <row r="5" ht="20" customHeight="1">
      <c r="A5" s="3" t="n">
        <v>4</v>
      </c>
      <c r="B5" s="3" t="inlineStr">
        <is>
          <t>Smart TV 55" 4K</t>
        </is>
      </c>
      <c r="C5" s="3" t="inlineStr">
        <is>
          <t>Eletrônicos</t>
        </is>
      </c>
      <c r="D5" s="3" t="inlineStr">
        <is>
          <t>TVs</t>
        </is>
      </c>
      <c r="E5" s="3" t="inlineStr">
        <is>
          <t>VisionMax</t>
        </is>
      </c>
      <c r="F5" s="3" t="n">
        <v>2799</v>
      </c>
      <c r="G5" s="3" t="n">
        <v>2499</v>
      </c>
      <c r="H5" s="3" t="n">
        <v>20</v>
      </c>
      <c r="I5" s="3" t="inlineStr">
        <is>
          <t>TV-55-4K</t>
        </is>
      </c>
      <c r="J5" s="3" t="inlineStr">
        <is>
          <t>Painel QLED, HDR10+, Android TV, 3 HDMI</t>
        </is>
      </c>
      <c r="K5" s="3" t="n">
        <v>4.6</v>
      </c>
      <c r="L5" s="3" t="n">
        <v>301</v>
      </c>
      <c r="M5" s="3" t="n">
        <v>18.5</v>
      </c>
      <c r="N5" s="3" t="inlineStr">
        <is>
          <t>Preto</t>
        </is>
      </c>
      <c r="O5" s="3" t="inlineStr">
        <is>
          <t>55"</t>
        </is>
      </c>
      <c r="P5" s="3" t="inlineStr">
        <is>
          <t>img/tv1.jpg</t>
        </is>
      </c>
      <c r="Q5" s="3" t="inlineStr">
        <is>
          <t>Sim</t>
        </is>
      </c>
      <c r="R5" s="3" t="inlineStr">
        <is>
          <t>Sim</t>
        </is>
      </c>
    </row>
    <row r="6" ht="20" customHeight="1">
      <c r="A6" s="2" t="n">
        <v>5</v>
      </c>
      <c r="B6" s="2" t="inlineStr">
        <is>
          <t>Câmera DSLR Pro</t>
        </is>
      </c>
      <c r="C6" s="2" t="inlineStr">
        <is>
          <t>Eletrônicos</t>
        </is>
      </c>
      <c r="D6" s="2" t="inlineStr">
        <is>
          <t>Câmeras</t>
        </is>
      </c>
      <c r="E6" s="2" t="inlineStr">
        <is>
          <t>LensArt</t>
        </is>
      </c>
      <c r="F6" s="2" t="n">
        <v>5200</v>
      </c>
      <c r="G6" s="2" t="n"/>
      <c r="H6" s="2" t="n">
        <v>8</v>
      </c>
      <c r="I6" s="2" t="inlineStr">
        <is>
          <t>CAM-DSLR-P</t>
        </is>
      </c>
      <c r="J6" s="2" t="inlineStr">
        <is>
          <t>24MP, lente 18-55mm, gravação 4K, WiFi</t>
        </is>
      </c>
      <c r="K6" s="2" t="n">
        <v>4.9</v>
      </c>
      <c r="L6" s="2" t="n">
        <v>76</v>
      </c>
      <c r="M6" s="2" t="n">
        <v>0.75</v>
      </c>
      <c r="N6" s="2" t="inlineStr">
        <is>
          <t>Preto</t>
        </is>
      </c>
      <c r="O6" s="2" t="inlineStr">
        <is>
          <t>Full Frame</t>
        </is>
      </c>
      <c r="P6" s="2" t="inlineStr">
        <is>
          <t>img/cam1.jpg</t>
        </is>
      </c>
      <c r="Q6" s="2" t="inlineStr">
        <is>
          <t>Não</t>
        </is>
      </c>
      <c r="R6" s="2" t="inlineStr">
        <is>
          <t>Sim</t>
        </is>
      </c>
    </row>
    <row r="7" ht="20" customHeight="1">
      <c r="A7" s="3" t="n">
        <v>6</v>
      </c>
      <c r="B7" s="3" t="inlineStr">
        <is>
          <t>Tênis Runner Elite</t>
        </is>
      </c>
      <c r="C7" s="3" t="inlineStr">
        <is>
          <t>Esportes</t>
        </is>
      </c>
      <c r="D7" s="3" t="inlineStr">
        <is>
          <t>Calçados</t>
        </is>
      </c>
      <c r="E7" s="3" t="inlineStr">
        <is>
          <t>SpeedFoot</t>
        </is>
      </c>
      <c r="F7" s="3" t="n">
        <v>349.9</v>
      </c>
      <c r="G7" s="3" t="n">
        <v>279.9</v>
      </c>
      <c r="H7" s="3" t="n">
        <v>120</v>
      </c>
      <c r="I7" s="3" t="inlineStr">
        <is>
          <t>TN-RUN-42</t>
        </is>
      </c>
      <c r="J7" s="3" t="inlineStr">
        <is>
          <t>Amortecimento responsivo, cabedal em mesh respirável</t>
        </is>
      </c>
      <c r="K7" s="3" t="n">
        <v>4.4</v>
      </c>
      <c r="L7" s="3" t="n">
        <v>445</v>
      </c>
      <c r="M7" s="3" t="n">
        <v>0.32</v>
      </c>
      <c r="N7" s="3" t="inlineStr">
        <is>
          <t>Vermelho</t>
        </is>
      </c>
      <c r="O7" s="3" t="inlineStr">
        <is>
          <t>42</t>
        </is>
      </c>
      <c r="P7" s="3" t="inlineStr">
        <is>
          <t>img/tenis1.jpg</t>
        </is>
      </c>
      <c r="Q7" s="3" t="inlineStr">
        <is>
          <t>Sim</t>
        </is>
      </c>
      <c r="R7" s="3" t="inlineStr">
        <is>
          <t>Não</t>
        </is>
      </c>
    </row>
    <row r="8" ht="20" customHeight="1">
      <c r="A8" s="2" t="n">
        <v>7</v>
      </c>
      <c r="B8" s="2" t="inlineStr">
        <is>
          <t>Mochila Tática 40L</t>
        </is>
      </c>
      <c r="C8" s="2" t="inlineStr">
        <is>
          <t>Esportes</t>
        </is>
      </c>
      <c r="D8" s="2" t="inlineStr">
        <is>
          <t>Acessórios</t>
        </is>
      </c>
      <c r="E8" s="2" t="inlineStr">
        <is>
          <t>TrailGear</t>
        </is>
      </c>
      <c r="F8" s="2" t="n">
        <v>289</v>
      </c>
      <c r="G8" s="2" t="n"/>
      <c r="H8" s="2" t="n">
        <v>65</v>
      </c>
      <c r="I8" s="2" t="inlineStr">
        <is>
          <t>MCH-40L-KH</t>
        </is>
      </c>
      <c r="J8" s="2" t="inlineStr">
        <is>
          <t>Impermeável, suporte para hidratação, ergonômica</t>
        </is>
      </c>
      <c r="K8" s="2" t="n">
        <v>4.6</v>
      </c>
      <c r="L8" s="2" t="n">
        <v>198</v>
      </c>
      <c r="M8" s="2" t="n">
        <v>0.9</v>
      </c>
      <c r="N8" s="2" t="inlineStr">
        <is>
          <t>Caqui</t>
        </is>
      </c>
      <c r="O8" s="2" t="inlineStr">
        <is>
          <t>Único</t>
        </is>
      </c>
      <c r="P8" s="2" t="inlineStr">
        <is>
          <t>img/mochila1.jpg</t>
        </is>
      </c>
      <c r="Q8" s="2" t="inlineStr">
        <is>
          <t>Não</t>
        </is>
      </c>
      <c r="R8" s="2" t="inlineStr">
        <is>
          <t>Não</t>
        </is>
      </c>
    </row>
    <row r="9" ht="20" customHeight="1">
      <c r="A9" s="3" t="n">
        <v>8</v>
      </c>
      <c r="B9" s="3" t="inlineStr">
        <is>
          <t>Camiseta Dry-Fit Pro</t>
        </is>
      </c>
      <c r="C9" s="3" t="inlineStr">
        <is>
          <t>Esportes</t>
        </is>
      </c>
      <c r="D9" s="3" t="inlineStr">
        <is>
          <t>Roupas</t>
        </is>
      </c>
      <c r="E9" s="3" t="inlineStr">
        <is>
          <t>ActiveWear</t>
        </is>
      </c>
      <c r="F9" s="3" t="n">
        <v>89.90000000000001</v>
      </c>
      <c r="G9" s="3" t="n">
        <v>69.90000000000001</v>
      </c>
      <c r="H9" s="3" t="n">
        <v>200</v>
      </c>
      <c r="I9" s="3" t="inlineStr">
        <is>
          <t>CAM-DRY-M</t>
        </is>
      </c>
      <c r="J9" s="3" t="inlineStr">
        <is>
          <t>Tecido que absorve suor, proteção UV50+</t>
        </is>
      </c>
      <c r="K9" s="3" t="n">
        <v>4.3</v>
      </c>
      <c r="L9" s="3" t="n">
        <v>678</v>
      </c>
      <c r="M9" s="3" t="n">
        <v>0.18</v>
      </c>
      <c r="N9" s="3" t="inlineStr">
        <is>
          <t>Cinza</t>
        </is>
      </c>
      <c r="O9" s="3" t="inlineStr">
        <is>
          <t>M</t>
        </is>
      </c>
      <c r="P9" s="3" t="inlineStr">
        <is>
          <t>img/camiseta1.jpg</t>
        </is>
      </c>
      <c r="Q9" s="3" t="inlineStr">
        <is>
          <t>Não</t>
        </is>
      </c>
      <c r="R9" s="3" t="inlineStr">
        <is>
          <t>Não</t>
        </is>
      </c>
    </row>
    <row r="10" ht="20" customHeight="1">
      <c r="A10" s="2" t="n">
        <v>9</v>
      </c>
      <c r="B10" s="2" t="inlineStr">
        <is>
          <t>Bicicleta MTB Carbon</t>
        </is>
      </c>
      <c r="C10" s="2" t="inlineStr">
        <is>
          <t>Esportes</t>
        </is>
      </c>
      <c r="D10" s="2" t="inlineStr">
        <is>
          <t>Ciclismo</t>
        </is>
      </c>
      <c r="E10" s="2" t="inlineStr">
        <is>
          <t>BikeForce</t>
        </is>
      </c>
      <c r="F10" s="2" t="n">
        <v>8900</v>
      </c>
      <c r="G10" s="2" t="n">
        <v>7500</v>
      </c>
      <c r="H10" s="2" t="n">
        <v>5</v>
      </c>
      <c r="I10" s="2" t="inlineStr">
        <is>
          <t>BK-MTB-29</t>
        </is>
      </c>
      <c r="J10" s="2" t="inlineStr">
        <is>
          <t>Quadro carbono, 29", 21 marchas, freio a disco</t>
        </is>
      </c>
      <c r="K10" s="2" t="n">
        <v>4.8</v>
      </c>
      <c r="L10" s="2" t="n">
        <v>43</v>
      </c>
      <c r="M10" s="2" t="n">
        <v>11.5</v>
      </c>
      <c r="N10" s="2" t="inlineStr">
        <is>
          <t>Prata</t>
        </is>
      </c>
      <c r="O10" s="2" t="inlineStr">
        <is>
          <t>Aro 29</t>
        </is>
      </c>
      <c r="P10" s="2" t="inlineStr">
        <is>
          <t>img/bike1.jpg</t>
        </is>
      </c>
      <c r="Q10" s="2" t="inlineStr">
        <is>
          <t>Sim</t>
        </is>
      </c>
      <c r="R10" s="2" t="inlineStr">
        <is>
          <t>Sim</t>
        </is>
      </c>
    </row>
    <row r="11" ht="20" customHeight="1">
      <c r="A11" s="3" t="n">
        <v>10</v>
      </c>
      <c r="B11" s="3" t="inlineStr">
        <is>
          <t>Sofá Retrátil 3 Lugares</t>
        </is>
      </c>
      <c r="C11" s="3" t="inlineStr">
        <is>
          <t>Casa</t>
        </is>
      </c>
      <c r="D11" s="3" t="inlineStr">
        <is>
          <t>Móveis</t>
        </is>
      </c>
      <c r="E11" s="3" t="inlineStr">
        <is>
          <t>HomeStyle</t>
        </is>
      </c>
      <c r="F11" s="3" t="n">
        <v>1899</v>
      </c>
      <c r="G11" s="3" t="n">
        <v>1599</v>
      </c>
      <c r="H11" s="3" t="n">
        <v>12</v>
      </c>
      <c r="I11" s="3" t="inlineStr">
        <is>
          <t>SF-RET-3L</t>
        </is>
      </c>
      <c r="J11" s="3" t="inlineStr">
        <is>
          <t>Tecido suede, chaise lateral, reclinável</t>
        </is>
      </c>
      <c r="K11" s="3" t="n">
        <v>4.5</v>
      </c>
      <c r="L11" s="3" t="n">
        <v>156</v>
      </c>
      <c r="M11" s="3" t="n">
        <v>42</v>
      </c>
      <c r="N11" s="3" t="inlineStr">
        <is>
          <t>Bege</t>
        </is>
      </c>
      <c r="O11" s="3" t="inlineStr">
        <is>
          <t>3 Lugares</t>
        </is>
      </c>
      <c r="P11" s="3" t="inlineStr">
        <is>
          <t>img/sofa1.jpg</t>
        </is>
      </c>
      <c r="Q11" s="3" t="inlineStr">
        <is>
          <t>Sim</t>
        </is>
      </c>
      <c r="R11" s="3" t="inlineStr">
        <is>
          <t>Sim</t>
        </is>
      </c>
    </row>
    <row r="12" ht="20" customHeight="1">
      <c r="A12" s="2" t="n">
        <v>11</v>
      </c>
      <c r="B12" s="2" t="inlineStr">
        <is>
          <t>Cafeteira Espresso Deluxe</t>
        </is>
      </c>
      <c r="C12" s="2" t="inlineStr">
        <is>
          <t>Casa</t>
        </is>
      </c>
      <c r="D12" s="2" t="inlineStr">
        <is>
          <t>Eletrodomésticos</t>
        </is>
      </c>
      <c r="E12" s="2" t="inlineStr">
        <is>
          <t>CaféPro</t>
        </is>
      </c>
      <c r="F12" s="2" t="n">
        <v>599</v>
      </c>
      <c r="G12" s="2" t="n">
        <v>499</v>
      </c>
      <c r="H12" s="2" t="n">
        <v>34</v>
      </c>
      <c r="I12" s="2" t="inlineStr">
        <is>
          <t>CF-ESP-DLX</t>
        </is>
      </c>
      <c r="J12" s="2" t="inlineStr">
        <is>
          <t>20 bar, cápsula e pó, vaporizador de leite</t>
        </is>
      </c>
      <c r="K12" s="2" t="n">
        <v>4.7</v>
      </c>
      <c r="L12" s="2" t="n">
        <v>312</v>
      </c>
      <c r="M12" s="2" t="n">
        <v>2.8</v>
      </c>
      <c r="N12" s="2" t="inlineStr">
        <is>
          <t>Inox</t>
        </is>
      </c>
      <c r="O12" s="2" t="inlineStr">
        <is>
          <t>Único</t>
        </is>
      </c>
      <c r="P12" s="2" t="inlineStr">
        <is>
          <t>img/cafe1.jpg</t>
        </is>
      </c>
      <c r="Q12" s="2" t="inlineStr">
        <is>
          <t>Não</t>
        </is>
      </c>
      <c r="R12" s="2" t="inlineStr">
        <is>
          <t>Não</t>
        </is>
      </c>
    </row>
    <row r="13" ht="20" customHeight="1">
      <c r="A13" s="3" t="n">
        <v>12</v>
      </c>
      <c r="B13" s="3" t="inlineStr">
        <is>
          <t>Panela Elétrica 5L</t>
        </is>
      </c>
      <c r="C13" s="3" t="inlineStr">
        <is>
          <t>Casa</t>
        </is>
      </c>
      <c r="D13" s="3" t="inlineStr">
        <is>
          <t>Eletrodomésticos</t>
        </is>
      </c>
      <c r="E13" s="3" t="inlineStr">
        <is>
          <t>ChefMate</t>
        </is>
      </c>
      <c r="F13" s="3" t="n">
        <v>249</v>
      </c>
      <c r="G13" s="3" t="n"/>
      <c r="H13" s="3" t="n">
        <v>78</v>
      </c>
      <c r="I13" s="3" t="inlineStr">
        <is>
          <t>PN-EL-5L</t>
        </is>
      </c>
      <c r="J13" s="3" t="inlineStr">
        <is>
          <t>Antiaderente, 5 modos, timer programável</t>
        </is>
      </c>
      <c r="K13" s="3" t="n">
        <v>4.2</v>
      </c>
      <c r="L13" s="3" t="n">
        <v>267</v>
      </c>
      <c r="M13" s="3" t="n">
        <v>2.1</v>
      </c>
      <c r="N13" s="3" t="inlineStr">
        <is>
          <t>Preto</t>
        </is>
      </c>
      <c r="O13" s="3" t="inlineStr">
        <is>
          <t>5L</t>
        </is>
      </c>
      <c r="P13" s="3" t="inlineStr">
        <is>
          <t>img/panela1.jpg</t>
        </is>
      </c>
      <c r="Q13" s="3" t="inlineStr">
        <is>
          <t>Não</t>
        </is>
      </c>
      <c r="R13" s="3" t="inlineStr">
        <is>
          <t>Não</t>
        </is>
      </c>
    </row>
    <row r="14" ht="20" customHeight="1">
      <c r="A14" s="2" t="n">
        <v>13</v>
      </c>
      <c r="B14" s="2" t="inlineStr">
        <is>
          <t>Luminária LED Moderna</t>
        </is>
      </c>
      <c r="C14" s="2" t="inlineStr">
        <is>
          <t>Casa</t>
        </is>
      </c>
      <c r="D14" s="2" t="inlineStr">
        <is>
          <t>Decoração</t>
        </is>
      </c>
      <c r="E14" s="2" t="inlineStr">
        <is>
          <t>LightDesign</t>
        </is>
      </c>
      <c r="F14" s="2" t="n">
        <v>179.9</v>
      </c>
      <c r="G14" s="2" t="n">
        <v>139.9</v>
      </c>
      <c r="H14" s="2" t="n">
        <v>45</v>
      </c>
      <c r="I14" s="2" t="inlineStr">
        <is>
          <t>LM-LED-MOD</t>
        </is>
      </c>
      <c r="J14" s="2" t="inlineStr">
        <is>
          <t>Regulagem de intensidade e cor, bivolt, 15W</t>
        </is>
      </c>
      <c r="K14" s="2" t="n">
        <v>4.4</v>
      </c>
      <c r="L14" s="2" t="n">
        <v>123</v>
      </c>
      <c r="M14" s="2" t="n">
        <v>0.6</v>
      </c>
      <c r="N14" s="2" t="inlineStr">
        <is>
          <t>Dourado</t>
        </is>
      </c>
      <c r="O14" s="2" t="inlineStr">
        <is>
          <t>Único</t>
        </is>
      </c>
      <c r="P14" s="2" t="inlineStr">
        <is>
          <t>img/luminaria1.jpg</t>
        </is>
      </c>
      <c r="Q14" s="2" t="inlineStr">
        <is>
          <t>Não</t>
        </is>
      </c>
      <c r="R14" s="2" t="inlineStr">
        <is>
          <t>Não</t>
        </is>
      </c>
    </row>
    <row r="15" ht="20" customHeight="1">
      <c r="A15" s="3" t="n">
        <v>14</v>
      </c>
      <c r="B15" s="3" t="inlineStr">
        <is>
          <t>Livro: Python Avançado</t>
        </is>
      </c>
      <c r="C15" s="3" t="inlineStr">
        <is>
          <t>Livros</t>
        </is>
      </c>
      <c r="D15" s="3" t="inlineStr">
        <is>
          <t>Tecnologia</t>
        </is>
      </c>
      <c r="E15" s="3" t="inlineStr">
        <is>
          <t>TechBooks</t>
        </is>
      </c>
      <c r="F15" s="3" t="n">
        <v>89.90000000000001</v>
      </c>
      <c r="G15" s="3" t="n">
        <v>69.90000000000001</v>
      </c>
      <c r="H15" s="3" t="n">
        <v>150</v>
      </c>
      <c r="I15" s="3" t="inlineStr">
        <is>
          <t>LV-PY-ADV</t>
        </is>
      </c>
      <c r="J15" s="3" t="inlineStr">
        <is>
          <t>Programação, data science, machine learning, 480 págs.</t>
        </is>
      </c>
      <c r="K15" s="3" t="n">
        <v>4.8</v>
      </c>
      <c r="L15" s="3" t="n">
        <v>890</v>
      </c>
      <c r="M15" s="3" t="n">
        <v>0.55</v>
      </c>
      <c r="N15" s="3" t="inlineStr">
        <is>
          <t>N/A</t>
        </is>
      </c>
      <c r="O15" s="3" t="inlineStr">
        <is>
          <t>N/A</t>
        </is>
      </c>
      <c r="P15" s="3" t="inlineStr">
        <is>
          <t>img/livro1.jpg</t>
        </is>
      </c>
      <c r="Q15" s="3" t="inlineStr">
        <is>
          <t>Sim</t>
        </is>
      </c>
      <c r="R15" s="3" t="inlineStr">
        <is>
          <t>Não</t>
        </is>
      </c>
    </row>
    <row r="16" ht="20" customHeight="1">
      <c r="A16" s="2" t="n">
        <v>15</v>
      </c>
      <c r="B16" s="2" t="inlineStr">
        <is>
          <t>Perfume Noir Intense</t>
        </is>
      </c>
      <c r="C16" s="2" t="inlineStr">
        <is>
          <t>Beleza</t>
        </is>
      </c>
      <c r="D16" s="2" t="inlineStr">
        <is>
          <t>Fragrâncias</t>
        </is>
      </c>
      <c r="E16" s="2" t="inlineStr">
        <is>
          <t>LuxScent</t>
        </is>
      </c>
      <c r="F16" s="2" t="n">
        <v>299</v>
      </c>
      <c r="G16" s="2" t="n">
        <v>249</v>
      </c>
      <c r="H16" s="2" t="n">
        <v>60</v>
      </c>
      <c r="I16" s="2" t="inlineStr">
        <is>
          <t>PF-NOIR-75</t>
        </is>
      </c>
      <c r="J16" s="2" t="inlineStr">
        <is>
          <t>Eau de parfum 75ml, notas amadeiradas e almíscar</t>
        </is>
      </c>
      <c r="K16" s="2" t="n">
        <v>4.6</v>
      </c>
      <c r="L16" s="2" t="n">
        <v>234</v>
      </c>
      <c r="M16" s="2" t="n">
        <v>0.22</v>
      </c>
      <c r="N16" s="2" t="inlineStr">
        <is>
          <t>N/A</t>
        </is>
      </c>
      <c r="O16" s="2" t="inlineStr">
        <is>
          <t>75ml</t>
        </is>
      </c>
      <c r="P16" s="2" t="inlineStr">
        <is>
          <t>img/perfume1.jpg</t>
        </is>
      </c>
      <c r="Q16" s="2" t="inlineStr">
        <is>
          <t>Sim</t>
        </is>
      </c>
      <c r="R16" s="2" t="inlineStr">
        <is>
          <t>Não</t>
        </is>
      </c>
    </row>
    <row r="17" ht="20" customHeight="1">
      <c r="A17" s="3" t="n">
        <v>16</v>
      </c>
      <c r="B17" s="3" t="inlineStr">
        <is>
          <t>Relógio Smartwatch X3</t>
        </is>
      </c>
      <c r="C17" s="3" t="inlineStr">
        <is>
          <t>Eletrônicos</t>
        </is>
      </c>
      <c r="D17" s="3" t="inlineStr">
        <is>
          <t>Wearables</t>
        </is>
      </c>
      <c r="E17" s="3" t="inlineStr">
        <is>
          <t>TimeSync</t>
        </is>
      </c>
      <c r="F17" s="3" t="n">
        <v>899</v>
      </c>
      <c r="G17" s="3" t="n">
        <v>749</v>
      </c>
      <c r="H17" s="3" t="n">
        <v>30</v>
      </c>
      <c r="I17" s="3" t="inlineStr">
        <is>
          <t>RLG-SW-X3</t>
        </is>
      </c>
      <c r="J17" s="3" t="inlineStr">
        <is>
          <t>GPS, monitor cardíaco, 50m resistente à água, 7 dias</t>
        </is>
      </c>
      <c r="K17" s="3" t="n">
        <v>4.5</v>
      </c>
      <c r="L17" s="3" t="n">
        <v>567</v>
      </c>
      <c r="M17" s="3" t="n">
        <v>0.05</v>
      </c>
      <c r="N17" s="3" t="inlineStr">
        <is>
          <t>Preto</t>
        </is>
      </c>
      <c r="O17" s="3" t="inlineStr">
        <is>
          <t>44mm</t>
        </is>
      </c>
      <c r="P17" s="3" t="inlineStr">
        <is>
          <t>img/relogio1.jpg</t>
        </is>
      </c>
      <c r="Q17" s="3" t="inlineStr">
        <is>
          <t>Sim</t>
        </is>
      </c>
      <c r="R17" s="3" t="inlineStr">
        <is>
          <t>Sim</t>
        </is>
      </c>
    </row>
    <row r="18" ht="20" customHeight="1">
      <c r="A18" s="2" t="n">
        <v>17</v>
      </c>
      <c r="B18" s="2" t="inlineStr">
        <is>
          <t>Mesa Gamer Pro RGB</t>
        </is>
      </c>
      <c r="C18" s="2" t="inlineStr">
        <is>
          <t>Casa</t>
        </is>
      </c>
      <c r="D18" s="2" t="inlineStr">
        <is>
          <t>Móveis</t>
        </is>
      </c>
      <c r="E18" s="2" t="inlineStr">
        <is>
          <t>GameRoom</t>
        </is>
      </c>
      <c r="F18" s="2" t="n">
        <v>1299</v>
      </c>
      <c r="G18" s="2" t="n"/>
      <c r="H18" s="2" t="n">
        <v>18</v>
      </c>
      <c r="I18" s="2" t="inlineStr">
        <is>
          <t>MS-GMR-PRG</t>
        </is>
      </c>
      <c r="J18" s="2" t="inlineStr">
        <is>
          <t>MDF 15mm, suporte monitor, RGB integrado, 1.5m</t>
        </is>
      </c>
      <c r="K18" s="2" t="n">
        <v>4.7</v>
      </c>
      <c r="L18" s="2" t="n">
        <v>89</v>
      </c>
      <c r="M18" s="2" t="n">
        <v>32</v>
      </c>
      <c r="N18" s="2" t="inlineStr">
        <is>
          <t>Preto</t>
        </is>
      </c>
      <c r="O18" s="2" t="inlineStr">
        <is>
          <t>1.5m</t>
        </is>
      </c>
      <c r="P18" s="2" t="inlineStr">
        <is>
          <t>img/mesa1.jpg</t>
        </is>
      </c>
      <c r="Q18" s="2" t="inlineStr">
        <is>
          <t>Não</t>
        </is>
      </c>
      <c r="R18" s="2" t="inlineStr">
        <is>
          <t>Sim</t>
        </is>
      </c>
    </row>
    <row r="19" ht="20" customHeight="1">
      <c r="A19" s="3" t="n">
        <v>18</v>
      </c>
      <c r="B19" s="3" t="inlineStr">
        <is>
          <t>Suplemento Whey Protein</t>
        </is>
      </c>
      <c r="C19" s="3" t="inlineStr">
        <is>
          <t>Esportes</t>
        </is>
      </c>
      <c r="D19" s="3" t="inlineStr">
        <is>
          <t>Nutrição</t>
        </is>
      </c>
      <c r="E19" s="3" t="inlineStr">
        <is>
          <t>FitNow</t>
        </is>
      </c>
      <c r="F19" s="3" t="n">
        <v>189.9</v>
      </c>
      <c r="G19" s="3" t="n">
        <v>159.9</v>
      </c>
      <c r="H19" s="3" t="n">
        <v>200</v>
      </c>
      <c r="I19" s="3" t="inlineStr">
        <is>
          <t>WP-CHO-900</t>
        </is>
      </c>
      <c r="J19" s="3" t="inlineStr">
        <is>
          <t>Concentrado 80%, 900g, sabor chocolate</t>
        </is>
      </c>
      <c r="K19" s="3" t="n">
        <v>4.4</v>
      </c>
      <c r="L19" s="3" t="n">
        <v>1023</v>
      </c>
      <c r="M19" s="3" t="n">
        <v>0.9</v>
      </c>
      <c r="N19" s="3" t="inlineStr">
        <is>
          <t>N/A</t>
        </is>
      </c>
      <c r="O19" s="3" t="inlineStr">
        <is>
          <t>900g</t>
        </is>
      </c>
      <c r="P19" s="3" t="inlineStr">
        <is>
          <t>img/whey1.jpg</t>
        </is>
      </c>
      <c r="Q19" s="3" t="inlineStr">
        <is>
          <t>Não</t>
        </is>
      </c>
      <c r="R19" s="3" t="inlineStr">
        <is>
          <t>Não</t>
        </is>
      </c>
    </row>
    <row r="20" ht="20" customHeight="1">
      <c r="A20" s="2" t="n">
        <v>19</v>
      </c>
      <c r="B20" s="2" t="inlineStr">
        <is>
          <t>Jogo Aventura Épica</t>
        </is>
      </c>
      <c r="C20" s="2" t="inlineStr">
        <is>
          <t>Games</t>
        </is>
      </c>
      <c r="D20" s="2" t="inlineStr">
        <is>
          <t>PS5</t>
        </is>
      </c>
      <c r="E20" s="2" t="inlineStr">
        <is>
          <t>GamePlay</t>
        </is>
      </c>
      <c r="F20" s="2" t="n">
        <v>299.9</v>
      </c>
      <c r="G20" s="2" t="n">
        <v>249.9</v>
      </c>
      <c r="H20" s="2" t="n">
        <v>55</v>
      </c>
      <c r="I20" s="2" t="inlineStr">
        <is>
          <t>JG-AVE-PS5</t>
        </is>
      </c>
      <c r="J20" s="2" t="inlineStr">
        <is>
          <t>RPG de mundo aberto, dublado em PT-BR, 100h+ gameplay</t>
        </is>
      </c>
      <c r="K20" s="2" t="n">
        <v>4.9</v>
      </c>
      <c r="L20" s="2" t="n">
        <v>2341</v>
      </c>
      <c r="M20" s="2" t="n">
        <v>0.08</v>
      </c>
      <c r="N20" s="2" t="inlineStr">
        <is>
          <t>N/A</t>
        </is>
      </c>
      <c r="O20" s="2" t="inlineStr">
        <is>
          <t>PS5</t>
        </is>
      </c>
      <c r="P20" s="2" t="inlineStr">
        <is>
          <t>img/jogo1.jpg</t>
        </is>
      </c>
      <c r="Q20" s="2" t="inlineStr">
        <is>
          <t>Sim</t>
        </is>
      </c>
      <c r="R20" s="2" t="inlineStr">
        <is>
          <t>Não</t>
        </is>
      </c>
    </row>
    <row r="21" ht="20" customHeight="1">
      <c r="A21" s="3" t="n">
        <v>20</v>
      </c>
      <c r="B21" s="3" t="inlineStr">
        <is>
          <t>Cadeira Ergonômica Plus</t>
        </is>
      </c>
      <c r="C21" s="3" t="inlineStr">
        <is>
          <t>Casa</t>
        </is>
      </c>
      <c r="D21" s="3" t="inlineStr">
        <is>
          <t>Móveis</t>
        </is>
      </c>
      <c r="E21" s="3" t="inlineStr">
        <is>
          <t>WorkComfort</t>
        </is>
      </c>
      <c r="F21" s="3" t="n">
        <v>2199</v>
      </c>
      <c r="G21" s="3" t="n">
        <v>1899</v>
      </c>
      <c r="H21" s="3" t="n">
        <v>22</v>
      </c>
      <c r="I21" s="3" t="inlineStr">
        <is>
          <t>CD-ERG-PLU</t>
        </is>
      </c>
      <c r="J21" s="3" t="inlineStr">
        <is>
          <t>Regulagem lombar, apoio de cabeça, rodízio 360°, mesh</t>
        </is>
      </c>
      <c r="K21" s="3" t="n">
        <v>4.8</v>
      </c>
      <c r="L21" s="3" t="n">
        <v>445</v>
      </c>
      <c r="M21" s="3" t="n">
        <v>15</v>
      </c>
      <c r="N21" s="3" t="inlineStr">
        <is>
          <t>Cinza</t>
        </is>
      </c>
      <c r="O21" s="3" t="inlineStr">
        <is>
          <t>Único</t>
        </is>
      </c>
      <c r="P21" s="3" t="inlineStr">
        <is>
          <t>img/cadeira1.jpg</t>
        </is>
      </c>
      <c r="Q21" s="3" t="inlineStr">
        <is>
          <t>Sim</t>
        </is>
      </c>
      <c r="R21" s="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4" t="inlineStr">
        <is>
          <t>Resumo do Catálogo</t>
        </is>
      </c>
      <c r="B1" s="4" t="n"/>
    </row>
    <row r="2">
      <c r="A2" s="4" t="n"/>
      <c r="B2" s="4" t="n"/>
    </row>
    <row r="3">
      <c r="A3" s="4" t="inlineStr">
        <is>
          <t>Total de Produtos:</t>
        </is>
      </c>
      <c r="B3" s="4">
        <f>COUNTA(Produtos!A2:A21)</f>
        <v/>
      </c>
    </row>
    <row r="4">
      <c r="A4" s="4" t="inlineStr">
        <is>
          <t>Preço Médio (R$):</t>
        </is>
      </c>
      <c r="B4" s="5">
        <f>AVERAGE(Produtos!F2:F21)</f>
        <v/>
      </c>
    </row>
    <row r="5">
      <c r="A5" s="4" t="inlineStr">
        <is>
          <t>Produto mais caro (R$):</t>
        </is>
      </c>
      <c r="B5" s="5">
        <f>MAX(Produtos!F2:F21)</f>
        <v/>
      </c>
    </row>
    <row r="6">
      <c r="A6" s="4" t="inlineStr">
        <is>
          <t>Produto mais barato (R$):</t>
        </is>
      </c>
      <c r="B6" s="5">
        <f>MIN(Produtos!F2:F21)</f>
        <v/>
      </c>
    </row>
    <row r="7">
      <c r="A7" s="4" t="inlineStr">
        <is>
          <t>Estoque Total:</t>
        </is>
      </c>
      <c r="B7" s="4">
        <f>SUM(Produtos!H2:H21)</f>
        <v/>
      </c>
    </row>
    <row r="8">
      <c r="A8" s="4" t="n"/>
      <c r="B8" s="4" t="n"/>
    </row>
    <row r="9">
      <c r="A9" s="4" t="inlineStr">
        <is>
          <t>Categorias:</t>
        </is>
      </c>
      <c r="B9" s="4" t="n"/>
    </row>
    <row r="10">
      <c r="A10" s="4" t="inlineStr">
        <is>
          <t>Eletrônicos</t>
        </is>
      </c>
      <c r="B10" s="4">
        <f>COUNTIF(Produtos!C:C,"Eletrônicos")</f>
        <v/>
      </c>
    </row>
    <row r="11">
      <c r="A11" s="4" t="inlineStr">
        <is>
          <t>Esportes</t>
        </is>
      </c>
      <c r="B11" s="4">
        <f>COUNTIF(Produtos!C:C,"Esportes")</f>
        <v/>
      </c>
    </row>
    <row r="12">
      <c r="A12" s="4" t="inlineStr">
        <is>
          <t>Casa</t>
        </is>
      </c>
      <c r="B12" s="4">
        <f>COUNTIF(Produtos!C:C,"Casa")</f>
        <v/>
      </c>
    </row>
    <row r="13">
      <c r="A13" s="4" t="inlineStr">
        <is>
          <t>Livros</t>
        </is>
      </c>
      <c r="B13" s="4">
        <f>COUNTIF(Produtos!C:C,"Livros")</f>
        <v/>
      </c>
    </row>
    <row r="14">
      <c r="A14" s="4" t="inlineStr">
        <is>
          <t>Beleza</t>
        </is>
      </c>
      <c r="B14" s="4">
        <f>COUNTIF(Produtos!C:C,"Beleza")</f>
        <v/>
      </c>
    </row>
    <row r="15">
      <c r="A15" s="4" t="inlineStr">
        <is>
          <t>Games</t>
        </is>
      </c>
      <c r="B15" s="4">
        <f>COUNTIF(Produtos!C:C,"Games")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2026-03-06T12:54:27Z</dcterms:created>
  <dcterms:modified xmlns:dcterms="http://purl.org/dc/terms/" xmlns:xsi="http://www.w3.org/2001/XMLSchema-instance" xsi:type="dcterms:W3CDTF">2026-03-06T12:54:27Z</dcterms:modified>
</cp:coreProperties>
</file>